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Data" sheetId="1" r:id="rId5"/>
    <sheet state="visible" name="P1 Dilutions" sheetId="2" r:id="rId6"/>
    <sheet state="visible" name="P1 Times" sheetId="3" r:id="rId7"/>
    <sheet state="visible" name="P2 Dilution + Times" sheetId="4" r:id="rId8"/>
  </sheets>
  <definedNames/>
  <calcPr/>
</workbook>
</file>

<file path=xl/sharedStrings.xml><?xml version="1.0" encoding="utf-8"?>
<sst xmlns="http://schemas.openxmlformats.org/spreadsheetml/2006/main" count="66" uniqueCount="39">
  <si>
    <t>Mixture</t>
  </si>
  <si>
    <t>[KIO₃] in reaction mixture (M)</t>
  </si>
  <si>
    <t>± M</t>
  </si>
  <si>
    <t>Time to colour-change (± 0.5 s)</t>
  </si>
  <si>
    <t>Target Temperature (°C)</t>
  </si>
  <si>
    <t>T(KIO₃ tube) (± 0.5 °C)</t>
  </si>
  <si>
    <t>T(NaHSO₃ tube) (± 0.5 °C)</t>
  </si>
  <si>
    <t>N/A</t>
  </si>
  <si>
    <t>[KIO₃] of Solution A (M)</t>
  </si>
  <si>
    <t xml:space="preserve">± 0.002 </t>
  </si>
  <si>
    <t>[NaHSO₃] of Solution B (M)</t>
  </si>
  <si>
    <t xml:space="preserve">± 0.0002 </t>
  </si>
  <si>
    <t>Total volume per dilution (mL)</t>
  </si>
  <si>
    <t>± 0.1</t>
  </si>
  <si>
    <t>V(KIO₃) (± 0.05 mL)</t>
  </si>
  <si>
    <t>V(H₂O) (± 0.05 mL)</t>
  </si>
  <si>
    <t>[KIO₃] diluted (M)</t>
  </si>
  <si>
    <t>0.200 ± 0.002</t>
  </si>
  <si>
    <t>0.160 ± 0.004</t>
  </si>
  <si>
    <t>0.120 ± 0.003</t>
  </si>
  <si>
    <t>0.080 ± 0.003</t>
  </si>
  <si>
    <t>0.040 ± 0.002</t>
  </si>
  <si>
    <t>Corrected Table of Values</t>
  </si>
  <si>
    <t>Uncertainty of Diluted Solution</t>
  </si>
  <si>
    <t>V(KIO₃) / mL</t>
  </si>
  <si>
    <t>± 0.1 mL</t>
  </si>
  <si>
    <t>V(NaHSO₃) / mL</t>
  </si>
  <si>
    <t>[NaHSO₃] / M</t>
  </si>
  <si>
    <t>± 0.0002 M</t>
  </si>
  <si>
    <t>Room temperature / °C</t>
  </si>
  <si>
    <t>± 0.5 °C</t>
  </si>
  <si>
    <t>V(0.200 M KIO₃) (± 0.05 mL)</t>
  </si>
  <si>
    <t>V(distilled H₂O) (± 0.05 mL)</t>
  </si>
  <si>
    <t>Total volume (± 0.1 mL)</t>
  </si>
  <si>
    <t>KIO3 Concentration</t>
  </si>
  <si>
    <t>Volume of KIO3</t>
  </si>
  <si>
    <t>Volume of Distilled Water</t>
  </si>
  <si>
    <t>Diluted KIO3</t>
  </si>
  <si>
    <t>0.0400 ± 0.0007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</si>
</sst>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0.0"/>
    <numFmt numFmtId="166" formatCode="#,##0.0"/>
    <numFmt numFmtId="167" formatCode="0.0000"/>
    <numFmt numFmtId="168" formatCode="#,##0.000"/>
  </numFmts>
  <fonts count="7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i/>
      <sz val="10.0"/>
      <color theme="1"/>
      <name val="Arial"/>
    </font>
    <font>
      <color theme="1"/>
      <name val="Calibri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1" numFmtId="165" xfId="0" applyAlignment="1" applyBorder="1" applyFill="1" applyFont="1" applyNumberFormat="1">
      <alignment horizontal="center" readingOrder="0" shrinkToFit="0" vertical="center" wrapText="0"/>
    </xf>
    <xf borderId="1" fillId="3" fontId="1" numFmtId="165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0" fontId="1" numFmtId="166" xfId="0" applyAlignment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3" fontId="2" numFmtId="165" xfId="0" applyAlignment="1" applyBorder="1" applyFill="1" applyFont="1" applyNumberFormat="1">
      <alignment readingOrder="0"/>
    </xf>
    <xf borderId="1" fillId="3" fontId="2" numFmtId="165" xfId="0" applyAlignment="1" applyBorder="1" applyFill="1" applyFont="1" applyNumberFormat="1">
      <alignment horizontal="right" readingOrder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1" fillId="0" fontId="1" numFmtId="2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1" numFmtId="167" xfId="0" applyAlignment="1" applyFill="1" applyFont="1" applyNumberFormat="1">
      <alignment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3" fillId="0" fontId="0" numFmtId="164" xfId="0" applyAlignment="1" applyBorder="1" applyFont="1" applyNumberFormat="1">
      <alignment horizontal="right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textRotation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1" numFmtId="4" xfId="0" applyAlignment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1" fillId="0" fontId="1" numFmtId="166" xfId="0" applyAlignment="1" applyBorder="1" applyFont="1" applyNumberFormat="1">
      <alignment horizontal="center" readingOrder="0" shrinkToFit="0" vertical="center" wrapText="0"/>
    </xf>
    <xf borderId="1" fillId="0" fontId="1" numFmtId="168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29"/>
    <col customWidth="1" min="4" max="4" width="18.29"/>
    <col customWidth="1" min="5" max="5" width="20.29"/>
  </cols>
  <sheetData>
    <row r="1">
      <c r="A1" s="1"/>
      <c r="B1" s="1"/>
      <c r="C1" s="2"/>
      <c r="D1" s="2"/>
      <c r="E1" s="2"/>
    </row>
    <row r="2">
      <c r="A2" s="1"/>
      <c r="B2" s="3" t="s">
        <v>0</v>
      </c>
      <c r="C2" s="4" t="s">
        <v>1</v>
      </c>
      <c r="D2" s="4" t="s">
        <v>2</v>
      </c>
      <c r="E2" s="4" t="s">
        <v>3</v>
      </c>
    </row>
    <row r="3">
      <c r="A3" s="5"/>
      <c r="B3" s="6">
        <v>1.0</v>
      </c>
      <c r="C3" s="7">
        <f>'P1 Times'!C8</f>
        <v>0.02</v>
      </c>
      <c r="D3" s="8">
        <f>'P1 Times'!D8</f>
        <v>0.0021</v>
      </c>
      <c r="E3" s="9">
        <v>26.38</v>
      </c>
    </row>
    <row r="4">
      <c r="A4" s="5"/>
      <c r="B4" s="6">
        <v>2.0</v>
      </c>
      <c r="C4" s="7">
        <f>'P1 Times'!C9</f>
        <v>0.016</v>
      </c>
      <c r="D4" s="8">
        <f>'P1 Times'!D9</f>
        <v>0.00168</v>
      </c>
      <c r="E4" s="9">
        <v>33.2</v>
      </c>
    </row>
    <row r="5">
      <c r="A5" s="5"/>
      <c r="B5" s="6">
        <v>3.0</v>
      </c>
      <c r="C5" s="7">
        <f>'P1 Times'!C10</f>
        <v>0.012</v>
      </c>
      <c r="D5" s="8">
        <f>'P1 Times'!D10</f>
        <v>0.00126</v>
      </c>
      <c r="E5" s="9">
        <v>41.0</v>
      </c>
    </row>
    <row r="6">
      <c r="A6" s="5"/>
      <c r="B6" s="6">
        <v>4.0</v>
      </c>
      <c r="C6" s="7">
        <f>'P1 Times'!C11</f>
        <v>0.008</v>
      </c>
      <c r="D6" s="8">
        <f>'P1 Times'!D11</f>
        <v>0.00084</v>
      </c>
      <c r="E6" s="9">
        <v>63.37</v>
      </c>
    </row>
    <row r="7">
      <c r="A7" s="5"/>
      <c r="B7" s="6">
        <v>5.0</v>
      </c>
      <c r="C7" s="7">
        <f>'P1 Times'!C12</f>
        <v>0.004</v>
      </c>
      <c r="D7" s="8">
        <f>'P1 Times'!D12</f>
        <v>0.00042</v>
      </c>
      <c r="E7" s="10">
        <f>2*60+16+0.55</f>
        <v>136.55</v>
      </c>
    </row>
    <row r="9">
      <c r="A9" s="11"/>
      <c r="B9" s="12" t="s">
        <v>4</v>
      </c>
      <c r="C9" s="12" t="s">
        <v>5</v>
      </c>
      <c r="D9" s="12" t="s">
        <v>6</v>
      </c>
      <c r="E9" s="4" t="s">
        <v>3</v>
      </c>
    </row>
    <row r="10">
      <c r="A10" s="13"/>
      <c r="B10" s="14">
        <v>10.0</v>
      </c>
      <c r="C10" s="15">
        <v>9.0</v>
      </c>
      <c r="D10" s="15">
        <v>9.0</v>
      </c>
      <c r="E10" s="15">
        <v>32.5</v>
      </c>
    </row>
    <row r="11">
      <c r="A11" s="13"/>
      <c r="B11" s="14">
        <v>20.0</v>
      </c>
      <c r="C11" s="15">
        <v>23.0</v>
      </c>
      <c r="D11" s="15">
        <v>23.0</v>
      </c>
      <c r="E11" s="15">
        <v>39.5</v>
      </c>
    </row>
    <row r="12">
      <c r="A12" s="13"/>
      <c r="B12" s="14">
        <v>30.0</v>
      </c>
      <c r="C12" s="15">
        <v>35.5</v>
      </c>
      <c r="D12" s="15">
        <v>35.5</v>
      </c>
      <c r="E12" s="16" t="s">
        <v>7</v>
      </c>
    </row>
    <row r="13">
      <c r="A13" s="13"/>
      <c r="B13" s="14">
        <v>40.0</v>
      </c>
      <c r="C13" s="15">
        <v>41.9</v>
      </c>
      <c r="D13" s="15">
        <v>41.9</v>
      </c>
      <c r="E13" s="16" t="s">
        <v>7</v>
      </c>
    </row>
    <row r="14">
      <c r="A14" s="13"/>
      <c r="B14" s="14">
        <v>50.0</v>
      </c>
      <c r="C14" s="15">
        <v>52.0</v>
      </c>
      <c r="D14" s="15">
        <v>52.0</v>
      </c>
      <c r="E14" s="16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9.57"/>
    <col customWidth="1" min="3" max="3" width="20.0"/>
    <col customWidth="1" min="4" max="4" width="21.14"/>
    <col customWidth="1" min="5" max="5" width="20.0"/>
    <col customWidth="1" min="6" max="6" width="15.0"/>
    <col customWidth="1" min="7" max="27" width="8.71"/>
  </cols>
  <sheetData>
    <row r="1">
      <c r="A1" s="17"/>
      <c r="B1" s="17"/>
    </row>
    <row r="2">
      <c r="A2" s="18"/>
      <c r="B2" s="18" t="s">
        <v>8</v>
      </c>
      <c r="C2" s="19">
        <v>0.2</v>
      </c>
      <c r="D2" s="18" t="s">
        <v>9</v>
      </c>
    </row>
    <row r="3">
      <c r="A3" s="18"/>
      <c r="B3" s="18" t="s">
        <v>10</v>
      </c>
      <c r="C3" s="19">
        <v>0.02</v>
      </c>
      <c r="D3" s="18" t="s">
        <v>11</v>
      </c>
    </row>
    <row r="4">
      <c r="A4" s="18"/>
      <c r="B4" s="18" t="s">
        <v>12</v>
      </c>
      <c r="C4" s="20">
        <v>10.0</v>
      </c>
      <c r="D4" s="18" t="s">
        <v>13</v>
      </c>
    </row>
    <row r="6" ht="22.5" customHeight="1">
      <c r="A6" s="1"/>
      <c r="B6" s="3" t="s">
        <v>0</v>
      </c>
      <c r="C6" s="4" t="s">
        <v>14</v>
      </c>
      <c r="D6" s="4" t="s">
        <v>15</v>
      </c>
      <c r="E6" s="4" t="s">
        <v>16</v>
      </c>
    </row>
    <row r="7">
      <c r="A7" s="5"/>
      <c r="B7" s="6">
        <v>1.0</v>
      </c>
      <c r="C7" s="21">
        <v>10.0</v>
      </c>
      <c r="D7" s="21">
        <f t="shared" ref="D7:D11" si="1">$C$4-C7</f>
        <v>0</v>
      </c>
      <c r="E7" s="7" t="s">
        <v>17</v>
      </c>
    </row>
    <row r="8">
      <c r="A8" s="5"/>
      <c r="B8" s="6">
        <v>2.0</v>
      </c>
      <c r="C8" s="21">
        <v>8.0</v>
      </c>
      <c r="D8" s="21">
        <f t="shared" si="1"/>
        <v>2</v>
      </c>
      <c r="E8" s="7" t="s">
        <v>18</v>
      </c>
    </row>
    <row r="9">
      <c r="A9" s="5"/>
      <c r="B9" s="6">
        <v>3.0</v>
      </c>
      <c r="C9" s="21">
        <v>6.0</v>
      </c>
      <c r="D9" s="21">
        <f t="shared" si="1"/>
        <v>4</v>
      </c>
      <c r="E9" s="7" t="s">
        <v>19</v>
      </c>
    </row>
    <row r="10">
      <c r="A10" s="5"/>
      <c r="B10" s="6">
        <v>4.0</v>
      </c>
      <c r="C10" s="21">
        <v>4.0</v>
      </c>
      <c r="D10" s="21">
        <f t="shared" si="1"/>
        <v>6</v>
      </c>
      <c r="E10" s="7" t="s">
        <v>20</v>
      </c>
    </row>
    <row r="11">
      <c r="A11" s="5"/>
      <c r="B11" s="6">
        <v>5.0</v>
      </c>
      <c r="C11" s="21">
        <v>2.0</v>
      </c>
      <c r="D11" s="21">
        <f t="shared" si="1"/>
        <v>8</v>
      </c>
      <c r="E11" s="7" t="s">
        <v>21</v>
      </c>
    </row>
    <row r="13" ht="31.5" customHeight="1">
      <c r="A13" s="22"/>
      <c r="B13" s="22"/>
      <c r="C13" s="22"/>
      <c r="D13" s="22"/>
      <c r="E13" s="22"/>
    </row>
    <row r="14" ht="18.0" customHeight="1">
      <c r="A14" s="22"/>
      <c r="B14" s="23" t="s">
        <v>22</v>
      </c>
      <c r="C14" s="22"/>
      <c r="D14" s="22"/>
      <c r="E14" s="22"/>
    </row>
    <row r="15">
      <c r="B15" s="18" t="s">
        <v>8</v>
      </c>
      <c r="C15" s="24">
        <v>0.02</v>
      </c>
      <c r="D15" s="18" t="s">
        <v>9</v>
      </c>
    </row>
    <row r="16">
      <c r="B16" s="18" t="s">
        <v>10</v>
      </c>
      <c r="C16" s="19">
        <v>0.02</v>
      </c>
      <c r="D16" s="18" t="s">
        <v>11</v>
      </c>
    </row>
    <row r="17">
      <c r="B17" s="18" t="s">
        <v>12</v>
      </c>
      <c r="C17" s="20">
        <v>10.0</v>
      </c>
      <c r="D17" s="18" t="s">
        <v>13</v>
      </c>
    </row>
    <row r="19">
      <c r="B19" s="3" t="s">
        <v>0</v>
      </c>
      <c r="C19" s="4" t="s">
        <v>14</v>
      </c>
      <c r="D19" s="4" t="s">
        <v>15</v>
      </c>
      <c r="E19" s="25" t="s">
        <v>16</v>
      </c>
      <c r="F19" s="26" t="s">
        <v>23</v>
      </c>
    </row>
    <row r="20">
      <c r="B20" s="6">
        <v>1.0</v>
      </c>
      <c r="C20" s="21">
        <v>10.0</v>
      </c>
      <c r="D20" s="21">
        <f t="shared" ref="D20:D24" si="2">$C$4-C20</f>
        <v>0</v>
      </c>
      <c r="E20" s="27">
        <f t="shared" ref="E20:E24" si="3">$C$15*C20/10</f>
        <v>0.02</v>
      </c>
      <c r="F20" s="28">
        <f t="shared" ref="F20:F24" si="4">((0.002/0.02)+(0.05/10))*E20</f>
        <v>0.0021</v>
      </c>
    </row>
    <row r="21">
      <c r="B21" s="6">
        <v>2.0</v>
      </c>
      <c r="C21" s="21">
        <v>8.0</v>
      </c>
      <c r="D21" s="21">
        <f t="shared" si="2"/>
        <v>2</v>
      </c>
      <c r="E21" s="27">
        <f t="shared" si="3"/>
        <v>0.016</v>
      </c>
      <c r="F21" s="28">
        <f t="shared" si="4"/>
        <v>0.00168</v>
      </c>
    </row>
    <row r="22" ht="15.75" customHeight="1">
      <c r="B22" s="6">
        <v>3.0</v>
      </c>
      <c r="C22" s="21">
        <v>6.0</v>
      </c>
      <c r="D22" s="21">
        <f t="shared" si="2"/>
        <v>4</v>
      </c>
      <c r="E22" s="27">
        <f t="shared" si="3"/>
        <v>0.012</v>
      </c>
      <c r="F22" s="28">
        <f t="shared" si="4"/>
        <v>0.00126</v>
      </c>
    </row>
    <row r="23" ht="15.75" customHeight="1">
      <c r="B23" s="6">
        <v>4.0</v>
      </c>
      <c r="C23" s="21">
        <v>4.0</v>
      </c>
      <c r="D23" s="21">
        <f t="shared" si="2"/>
        <v>6</v>
      </c>
      <c r="E23" s="27">
        <f t="shared" si="3"/>
        <v>0.008</v>
      </c>
      <c r="F23" s="28">
        <f t="shared" si="4"/>
        <v>0.00084</v>
      </c>
    </row>
    <row r="24" ht="15.75" customHeight="1">
      <c r="B24" s="6">
        <v>5.0</v>
      </c>
      <c r="C24" s="21">
        <v>2.0</v>
      </c>
      <c r="D24" s="21">
        <f t="shared" si="2"/>
        <v>8</v>
      </c>
      <c r="E24" s="27">
        <f t="shared" si="3"/>
        <v>0.004</v>
      </c>
      <c r="F24" s="28">
        <f t="shared" si="4"/>
        <v>0.00042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4.0"/>
    <col customWidth="1" min="3" max="3" width="21.43"/>
    <col customWidth="1" min="4" max="4" width="10.43"/>
    <col customWidth="1" min="5" max="5" width="18.86"/>
    <col customWidth="1" min="6" max="6" width="14.43"/>
    <col customWidth="1" min="7" max="26" width="8.71"/>
  </cols>
  <sheetData>
    <row r="1">
      <c r="A1" s="17"/>
      <c r="B1" s="17"/>
    </row>
    <row r="2">
      <c r="A2" s="29"/>
      <c r="B2" s="29" t="s">
        <v>24</v>
      </c>
      <c r="C2" s="30">
        <v>5.0</v>
      </c>
      <c r="D2" s="31"/>
      <c r="E2" s="31" t="s">
        <v>25</v>
      </c>
    </row>
    <row r="3">
      <c r="A3" s="29"/>
      <c r="B3" s="29" t="s">
        <v>26</v>
      </c>
      <c r="C3" s="32">
        <v>5.0</v>
      </c>
      <c r="D3" s="29"/>
      <c r="E3" s="29" t="s">
        <v>25</v>
      </c>
    </row>
    <row r="4">
      <c r="A4" s="29"/>
      <c r="B4" s="29" t="s">
        <v>27</v>
      </c>
      <c r="C4" s="33">
        <v>0.02</v>
      </c>
      <c r="D4" s="29"/>
      <c r="E4" s="29" t="s">
        <v>28</v>
      </c>
    </row>
    <row r="5">
      <c r="A5" s="29"/>
      <c r="B5" s="29" t="s">
        <v>29</v>
      </c>
      <c r="C5" s="34">
        <v>24.0</v>
      </c>
      <c r="D5" s="29"/>
      <c r="E5" s="29" t="s">
        <v>30</v>
      </c>
    </row>
    <row r="7" ht="45.0" customHeight="1">
      <c r="A7" s="1"/>
      <c r="B7" s="3" t="s">
        <v>0</v>
      </c>
      <c r="C7" s="4" t="s">
        <v>1</v>
      </c>
      <c r="D7" s="4" t="s">
        <v>2</v>
      </c>
      <c r="E7" s="4" t="s">
        <v>3</v>
      </c>
    </row>
    <row r="8">
      <c r="A8" s="5"/>
      <c r="B8" s="6">
        <v>1.0</v>
      </c>
      <c r="C8" s="7">
        <f>'P1 Dilutions'!E20</f>
        <v>0.02</v>
      </c>
      <c r="D8" s="8">
        <f>'P1 Dilutions'!F20</f>
        <v>0.0021</v>
      </c>
      <c r="E8" s="9">
        <v>26.38</v>
      </c>
    </row>
    <row r="9">
      <c r="A9" s="5"/>
      <c r="B9" s="6">
        <v>2.0</v>
      </c>
      <c r="C9" s="7">
        <f>'P1 Dilutions'!E21</f>
        <v>0.016</v>
      </c>
      <c r="D9" s="8">
        <f>'P1 Dilutions'!F21</f>
        <v>0.00168</v>
      </c>
      <c r="E9" s="9">
        <v>33.2</v>
      </c>
    </row>
    <row r="10">
      <c r="A10" s="5"/>
      <c r="B10" s="6">
        <v>3.0</v>
      </c>
      <c r="C10" s="7">
        <f>'P1 Dilutions'!E22</f>
        <v>0.012</v>
      </c>
      <c r="D10" s="8">
        <f>'P1 Dilutions'!F22</f>
        <v>0.00126</v>
      </c>
      <c r="E10" s="9">
        <v>41.0</v>
      </c>
    </row>
    <row r="11">
      <c r="A11" s="5"/>
      <c r="B11" s="6">
        <v>4.0</v>
      </c>
      <c r="C11" s="7">
        <f>'P1 Dilutions'!E23</f>
        <v>0.008</v>
      </c>
      <c r="D11" s="8">
        <f>'P1 Dilutions'!F23</f>
        <v>0.00084</v>
      </c>
      <c r="E11" s="9">
        <v>63.37</v>
      </c>
    </row>
    <row r="12">
      <c r="A12" s="5"/>
      <c r="B12" s="6">
        <v>5.0</v>
      </c>
      <c r="C12" s="7">
        <f>'P1 Dilutions'!E24</f>
        <v>0.004</v>
      </c>
      <c r="D12" s="8">
        <f>'P1 Dilutions'!F24</f>
        <v>0.00042</v>
      </c>
      <c r="E12" s="10">
        <f>2*60+16+0.55</f>
        <v>136.55</v>
      </c>
    </row>
    <row r="14" ht="31.5" customHeight="1">
      <c r="A14" s="22"/>
      <c r="B14" s="22"/>
      <c r="C14" s="22"/>
      <c r="D14" s="22"/>
      <c r="E14" s="22"/>
    </row>
    <row r="15" ht="31.5" customHeight="1">
      <c r="A15" s="22"/>
      <c r="B15" s="22"/>
      <c r="C15" s="22"/>
      <c r="D15" s="22"/>
      <c r="E15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14"/>
    <col customWidth="1" min="3" max="3" width="19.0"/>
    <col customWidth="1" min="4" max="5" width="16.57"/>
    <col customWidth="1" min="6" max="10" width="8.71"/>
    <col customWidth="1" min="11" max="11" width="16.86"/>
    <col customWidth="1" min="12" max="25" width="8.71"/>
  </cols>
  <sheetData>
    <row r="2" ht="45.0" customHeight="1">
      <c r="A2" s="2"/>
      <c r="B2" s="4" t="s">
        <v>31</v>
      </c>
      <c r="C2" s="4" t="s">
        <v>32</v>
      </c>
      <c r="D2" s="4" t="s">
        <v>33</v>
      </c>
      <c r="E2" s="4" t="s">
        <v>16</v>
      </c>
      <c r="K2" s="35" t="s">
        <v>34</v>
      </c>
      <c r="L2" s="35" t="s">
        <v>35</v>
      </c>
      <c r="M2" s="35" t="s">
        <v>36</v>
      </c>
      <c r="N2" s="35" t="s">
        <v>37</v>
      </c>
    </row>
    <row r="3">
      <c r="A3" s="36"/>
      <c r="B3" s="37">
        <v>10.0</v>
      </c>
      <c r="C3" s="37">
        <v>40.0</v>
      </c>
      <c r="D3" s="38">
        <v>50.0</v>
      </c>
      <c r="E3" s="39" t="s">
        <v>38</v>
      </c>
      <c r="K3" s="35">
        <v>0.02</v>
      </c>
      <c r="L3" s="35">
        <f>10/1000</f>
        <v>0.01</v>
      </c>
      <c r="M3" s="35">
        <f>40/1000</f>
        <v>0.04</v>
      </c>
    </row>
    <row r="5">
      <c r="A5" s="40"/>
      <c r="B5" s="40"/>
      <c r="C5" s="40"/>
      <c r="D5" s="40"/>
      <c r="E5" s="40"/>
    </row>
    <row r="6">
      <c r="A6" s="11"/>
      <c r="B6" s="12" t="s">
        <v>4</v>
      </c>
      <c r="C6" s="12" t="s">
        <v>5</v>
      </c>
      <c r="D6" s="12" t="s">
        <v>6</v>
      </c>
      <c r="E6" s="4" t="s">
        <v>3</v>
      </c>
    </row>
    <row r="7">
      <c r="A7" s="13"/>
      <c r="B7" s="14">
        <v>10.0</v>
      </c>
      <c r="C7" s="15">
        <v>9.0</v>
      </c>
      <c r="D7" s="15">
        <v>9.0</v>
      </c>
      <c r="E7" s="15">
        <v>32.5</v>
      </c>
    </row>
    <row r="8">
      <c r="A8" s="13"/>
      <c r="B8" s="14">
        <v>20.0</v>
      </c>
      <c r="C8" s="15">
        <v>23.0</v>
      </c>
      <c r="D8" s="15">
        <v>23.0</v>
      </c>
      <c r="E8" s="15">
        <v>39.5</v>
      </c>
    </row>
    <row r="9">
      <c r="A9" s="13"/>
      <c r="B9" s="14">
        <v>30.0</v>
      </c>
      <c r="C9" s="15">
        <v>35.5</v>
      </c>
      <c r="D9" s="15">
        <v>35.5</v>
      </c>
      <c r="E9" s="15" t="s">
        <v>7</v>
      </c>
    </row>
    <row r="10">
      <c r="A10" s="13"/>
      <c r="B10" s="14">
        <v>40.0</v>
      </c>
      <c r="C10" s="15">
        <v>41.9</v>
      </c>
      <c r="D10" s="15">
        <v>41.9</v>
      </c>
      <c r="E10" s="15" t="s">
        <v>7</v>
      </c>
    </row>
    <row r="11">
      <c r="A11" s="13"/>
      <c r="B11" s="14">
        <v>50.0</v>
      </c>
      <c r="C11" s="15">
        <v>52.0</v>
      </c>
      <c r="D11" s="15">
        <v>52.0</v>
      </c>
      <c r="E11" s="15" t="s">
        <v>7</v>
      </c>
    </row>
    <row r="12">
      <c r="A12" s="40"/>
      <c r="B12" s="40"/>
      <c r="C12" s="40"/>
      <c r="D12" s="40"/>
      <c r="E12" s="40"/>
    </row>
    <row r="13">
      <c r="A13" s="41"/>
      <c r="B13" s="41"/>
      <c r="C13" s="41"/>
      <c r="D13" s="41"/>
      <c r="E13" s="41"/>
    </row>
    <row r="14">
      <c r="A14" s="41"/>
      <c r="B14" s="41"/>
      <c r="C14" s="41"/>
      <c r="D14" s="41"/>
      <c r="E14" s="4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</worksheet>
</file>