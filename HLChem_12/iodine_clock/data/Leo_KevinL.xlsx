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<sst xmlns="http://schemas.openxmlformats.org/spreadsheetml/2006/main" count="14" uniqueCount="10">
  <si>
    <t>Mixture</t>
  </si>
  <si>
    <t>Volume of 0.0200M KIO₃</t>
  </si>
  <si>
    <t>[KIO₃] in reaction mixture (M)</t>
  </si>
  <si>
    <t>± M</t>
  </si>
  <si>
    <t>Time to colour-change (± 0.5 s)</t>
  </si>
  <si>
    <t>Target Temperature (°C)</t>
  </si>
  <si>
    <t>T(KIO₃ tube) (± 0.5 °C)</t>
  </si>
  <si>
    <t>T(NaHSO₃ tube) (± 0.5 °C)</t>
  </si>
  <si>
    <t>N/A</t>
  </si>
  <si>
    <t>Total volume = 5.000mL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</si>
</sst>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"/>
    <numFmt numFmtId="165" formatCode="0.00000"/>
    <numFmt numFmtId="166" formatCode="0.0"/>
    <numFmt numFmtId="167" formatCode="#,##0.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Times New Roman"/>
    </font>
    <font>
      <sz val="11.0"/>
      <color theme="1"/>
      <name val="Calibri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 readingOrder="0"/>
    </xf>
    <xf borderId="1" fillId="0" fontId="2" numFmtId="165" xfId="0" applyAlignment="1" applyBorder="1" applyFont="1" applyNumberFormat="1">
      <alignment horizontal="center"/>
    </xf>
    <xf borderId="1" fillId="0" fontId="2" numFmtId="166" xfId="0" applyAlignment="1" applyBorder="1" applyFont="1" applyNumberFormat="1">
      <alignment horizontal="center"/>
    </xf>
    <xf borderId="1" fillId="0" fontId="2" numFmtId="166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1" fillId="0" fontId="2" numFmtId="0" xfId="0" applyAlignment="1" applyBorder="1" applyFont="1">
      <alignment horizontal="center" shrinkToFit="0" vertical="bottom" wrapText="1"/>
    </xf>
    <xf borderId="1" fillId="0" fontId="2" numFmtId="167" xfId="0" applyAlignment="1" applyBorder="1" applyFont="1" applyNumberFormat="1">
      <alignment horizontal="center" readingOrder="0" vertical="bottom"/>
    </xf>
    <xf borderId="1" fillId="0" fontId="2" numFmtId="166" xfId="0" applyAlignment="1" applyBorder="1" applyFont="1" applyNumberFormat="1">
      <alignment horizontal="center" readingOrder="0" vertical="bottom"/>
    </xf>
    <xf borderId="1" fillId="0" fontId="2" numFmtId="166" xfId="0" applyAlignment="1" applyBorder="1" applyFont="1" applyNumberFormat="1">
      <alignment horizontal="center"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C2" s="1"/>
    </row>
    <row r="3">
      <c r="C3" s="1"/>
      <c r="E3" s="1"/>
    </row>
    <row r="4">
      <c r="B4" s="2" t="s">
        <v>0</v>
      </c>
      <c r="C4" s="3" t="s">
        <v>1</v>
      </c>
      <c r="D4" s="2" t="s">
        <v>2</v>
      </c>
      <c r="E4" s="2" t="s">
        <v>3</v>
      </c>
      <c r="F4" s="2" t="s">
        <v>4</v>
      </c>
    </row>
    <row r="5">
      <c r="B5" s="4">
        <v>1.0</v>
      </c>
      <c r="C5" s="5">
        <v>5.0</v>
      </c>
      <c r="D5" s="5">
        <v>0.02</v>
      </c>
      <c r="E5" s="6">
        <f t="shared" ref="E5:E10" si="1">((0.02*C5/5)*((0.0002/0.02)+(0.05/C5)))</f>
        <v>0.0004</v>
      </c>
      <c r="F5" s="7">
        <f>23-8</f>
        <v>15</v>
      </c>
    </row>
    <row r="6">
      <c r="B6" s="4">
        <v>2.0</v>
      </c>
      <c r="C6" s="5">
        <v>4.0</v>
      </c>
      <c r="D6" s="5">
        <v>0.016</v>
      </c>
      <c r="E6" s="6">
        <f t="shared" si="1"/>
        <v>0.00036</v>
      </c>
      <c r="F6" s="8">
        <f>28-3</f>
        <v>25</v>
      </c>
    </row>
    <row r="7">
      <c r="B7" s="4">
        <v>3.0</v>
      </c>
      <c r="C7" s="5">
        <v>3.0</v>
      </c>
      <c r="D7" s="5">
        <v>0.012</v>
      </c>
      <c r="E7" s="6">
        <f t="shared" si="1"/>
        <v>0.00032</v>
      </c>
      <c r="F7" s="8">
        <v>25.0</v>
      </c>
    </row>
    <row r="8">
      <c r="B8" s="9">
        <v>4.0</v>
      </c>
      <c r="C8" s="5">
        <v>2.5</v>
      </c>
      <c r="D8" s="10">
        <f>2.5/5*0.02</f>
        <v>0.01</v>
      </c>
      <c r="E8" s="6">
        <f t="shared" si="1"/>
        <v>0.0003</v>
      </c>
      <c r="F8" s="8">
        <v>37.0</v>
      </c>
    </row>
    <row r="9">
      <c r="B9" s="9">
        <v>5.0</v>
      </c>
      <c r="C9" s="5">
        <v>2.0</v>
      </c>
      <c r="D9" s="5">
        <v>0.008</v>
      </c>
      <c r="E9" s="6">
        <f t="shared" si="1"/>
        <v>0.00028</v>
      </c>
      <c r="F9" s="7">
        <f>57-4</f>
        <v>53</v>
      </c>
    </row>
    <row r="10">
      <c r="B10" s="9">
        <v>6.0</v>
      </c>
      <c r="C10" s="5">
        <v>1.0</v>
      </c>
      <c r="D10" s="5">
        <v>0.004</v>
      </c>
      <c r="E10" s="6">
        <f t="shared" si="1"/>
        <v>0.00024</v>
      </c>
      <c r="F10" s="7">
        <f>(3040-206)*(1/30)</f>
        <v>94.46666667</v>
      </c>
    </row>
    <row r="11">
      <c r="B11" s="11"/>
      <c r="C11" s="11"/>
      <c r="D11" s="12"/>
      <c r="E11" s="12"/>
      <c r="F11" s="12"/>
    </row>
    <row r="12">
      <c r="B12" s="13" t="s">
        <v>5</v>
      </c>
      <c r="C12" s="3" t="s">
        <v>1</v>
      </c>
      <c r="D12" s="13" t="s">
        <v>6</v>
      </c>
      <c r="E12" s="13" t="s">
        <v>7</v>
      </c>
      <c r="F12" s="2" t="s">
        <v>4</v>
      </c>
    </row>
    <row r="13">
      <c r="B13" s="14">
        <v>24.0</v>
      </c>
      <c r="C13" s="15">
        <v>2.5</v>
      </c>
      <c r="D13" s="14">
        <v>24.0</v>
      </c>
      <c r="E13" s="14">
        <v>24.0</v>
      </c>
      <c r="F13" s="8">
        <v>37.0</v>
      </c>
    </row>
    <row r="14">
      <c r="B14" s="14">
        <v>10.0</v>
      </c>
      <c r="C14" s="15">
        <v>2.5</v>
      </c>
      <c r="D14" s="15">
        <v>10.0</v>
      </c>
      <c r="E14" s="15">
        <v>10.0</v>
      </c>
      <c r="F14" s="16">
        <f>65-5</f>
        <v>60</v>
      </c>
    </row>
    <row r="15">
      <c r="B15" s="14">
        <v>38.5</v>
      </c>
      <c r="C15" s="15">
        <v>2.5</v>
      </c>
      <c r="D15" s="14">
        <v>38.5</v>
      </c>
      <c r="E15" s="14">
        <v>38.5</v>
      </c>
      <c r="F15" s="15" t="s">
        <v>8</v>
      </c>
    </row>
    <row r="16">
      <c r="B16" s="14">
        <v>45.0</v>
      </c>
      <c r="C16" s="15">
        <v>2.5</v>
      </c>
      <c r="D16" s="14">
        <v>45.0</v>
      </c>
      <c r="E16" s="14">
        <v>45.0</v>
      </c>
      <c r="F16" s="15" t="s">
        <v>8</v>
      </c>
    </row>
    <row r="17">
      <c r="B17" s="14">
        <v>40.0</v>
      </c>
      <c r="C17" s="15">
        <v>2.5</v>
      </c>
      <c r="D17" s="14">
        <v>40.0</v>
      </c>
      <c r="E17" s="14">
        <v>40.0</v>
      </c>
      <c r="F17" s="15" t="s">
        <v>8</v>
      </c>
    </row>
    <row r="18">
      <c r="B18" s="17" t="s">
        <v>9</v>
      </c>
    </row>
  </sheetData>
  <drawing r:id="rId1"/>
</worksheet>
</file>